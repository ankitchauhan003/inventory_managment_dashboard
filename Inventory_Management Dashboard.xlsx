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bgam\Downloads\"/>
    </mc:Choice>
  </mc:AlternateContent>
  <xr:revisionPtr revIDLastSave="0" documentId="13_ncr:1_{AAD881BA-49EE-47B9-ABAE-6D8264BB36E1}" xr6:coauthVersionLast="47" xr6:coauthVersionMax="47" xr10:uidLastSave="{00000000-0000-0000-0000-000000000000}"/>
  <bookViews>
    <workbookView xWindow="-108" yWindow="-108" windowWidth="23256" windowHeight="12576" firstSheet="2" activeTab="4" xr2:uid="{00000000-000D-0000-FFFF-FFFF00000000}"/>
  </bookViews>
  <sheets>
    <sheet name="Category-wise Inventory Value" sheetId="6" r:id="rId1"/>
    <sheet name="Product-wise Available Stock" sheetId="7" r:id="rId2"/>
    <sheet name="Inventory_Data" sheetId="1" r:id="rId3"/>
    <sheet name="Stock Status Doughnut Chart" sheetId="9" r:id="rId4"/>
    <sheet name="Dashboard" sheetId="2" r:id="rId5"/>
  </sheets>
  <calcPr calcId="191029"/>
  <pivotCaches>
    <pivotCache cacheId="1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9" l="1"/>
  <c r="B2" i="9"/>
  <c r="B4" i="9" s="1"/>
  <c r="J2" i="1"/>
  <c r="E5" i="2" s="1"/>
  <c r="J3" i="1"/>
  <c r="J4" i="1"/>
  <c r="J5" i="1"/>
  <c r="J6" i="1"/>
  <c r="J7" i="1"/>
  <c r="J8" i="1"/>
  <c r="J9" i="1"/>
  <c r="J10" i="1"/>
  <c r="J11" i="1"/>
  <c r="C5" i="2"/>
  <c r="B5" i="2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2" i="1"/>
  <c r="I2" i="1" s="1"/>
  <c r="D5" i="2" l="1"/>
</calcChain>
</file>

<file path=xl/sharedStrings.xml><?xml version="1.0" encoding="utf-8"?>
<sst xmlns="http://schemas.openxmlformats.org/spreadsheetml/2006/main" count="68" uniqueCount="46">
  <si>
    <t xml:space="preserve"> Product ID </t>
  </si>
  <si>
    <t xml:space="preserve"> Product Name </t>
  </si>
  <si>
    <t xml:space="preserve"> Category    </t>
  </si>
  <si>
    <t xml:space="preserve"> Opening Stock </t>
  </si>
  <si>
    <t xml:space="preserve"> Stock In </t>
  </si>
  <si>
    <t xml:space="preserve"> Stock Out </t>
  </si>
  <si>
    <t xml:space="preserve"> Unit Price </t>
  </si>
  <si>
    <t xml:space="preserve"> P101       </t>
  </si>
  <si>
    <t xml:space="preserve"> Keyboard     </t>
  </si>
  <si>
    <t xml:space="preserve"> Electronics </t>
  </si>
  <si>
    <t xml:space="preserve"> P102       </t>
  </si>
  <si>
    <t xml:space="preserve"> Mouse        </t>
  </si>
  <si>
    <t xml:space="preserve"> P103       </t>
  </si>
  <si>
    <t xml:space="preserve"> Notebook     </t>
  </si>
  <si>
    <t xml:space="preserve"> Stationery  </t>
  </si>
  <si>
    <t xml:space="preserve"> P104       </t>
  </si>
  <si>
    <t xml:space="preserve"> USB Cable    </t>
  </si>
  <si>
    <t xml:space="preserve"> P105       </t>
  </si>
  <si>
    <t xml:space="preserve"> Pen          </t>
  </si>
  <si>
    <t xml:space="preserve"> P106       </t>
  </si>
  <si>
    <t xml:space="preserve"> Monitor      </t>
  </si>
  <si>
    <t xml:space="preserve"> P107       </t>
  </si>
  <si>
    <t xml:space="preserve"> Printer      </t>
  </si>
  <si>
    <t xml:space="preserve"> P108       </t>
  </si>
  <si>
    <t xml:space="preserve"> File Folder  </t>
  </si>
  <si>
    <t xml:space="preserve"> P109       </t>
  </si>
  <si>
    <t xml:space="preserve"> Headphones   </t>
  </si>
  <si>
    <t xml:space="preserve"> P110       </t>
  </si>
  <si>
    <t xml:space="preserve"> Calculator   </t>
  </si>
  <si>
    <t>Total Value</t>
  </si>
  <si>
    <t>INVENTORY MANAGEMENT DASHBOARD</t>
  </si>
  <si>
    <t>Total Products</t>
  </si>
  <si>
    <t>Total Available Stock</t>
  </si>
  <si>
    <t>Total Inventory Value</t>
  </si>
  <si>
    <t>Low Stock Product</t>
  </si>
  <si>
    <t>Low Stock Alert</t>
  </si>
  <si>
    <t>Available Stock</t>
  </si>
  <si>
    <t>Row Labels</t>
  </si>
  <si>
    <t>Grand Total</t>
  </si>
  <si>
    <t>Sum of Total Value</t>
  </si>
  <si>
    <t>Sum of Available Stock</t>
  </si>
  <si>
    <t>Stock Status</t>
  </si>
  <si>
    <t>Product Count</t>
  </si>
  <si>
    <t>Low Stock</t>
  </si>
  <si>
    <t>In Stock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</si>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</sst>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A9E9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8" fillId="5" borderId="1" xfId="0" applyFont="1" applyFill="1" applyBorder="1"/>
    <xf numFmtId="0" fontId="6" fillId="3" borderId="1" xfId="0" applyFont="1" applyFill="1" applyBorder="1"/>
    <xf numFmtId="0" fontId="7" fillId="4" borderId="1" xfId="0" applyFont="1" applyFill="1" applyBorder="1"/>
    <xf numFmtId="0" fontId="0" fillId="0" borderId="0" xfId="0" applyNumberForma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A9E9C"/>
      <color rgb="FFF87B78"/>
      <color rgb="FFFF6600"/>
      <color rgb="FFFF5050"/>
      <color rgb="FFFF3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Data.xlsx]Category-wise Inventory Value!PivotTable5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 Inventory Value'!$B$3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'Category-wise Inventory Value'!$A$4:$A$6</c:f>
              <c:strCache>
                <c:ptCount val="2"/>
                <c:pt idx="0">
                  <c:v> Electronics </c:v>
                </c:pt>
                <c:pt idx="1">
                  <c:v> Stationery  </c:v>
                </c:pt>
              </c:strCache>
            </c:strRef>
          </c:cat>
          <c:val>
            <c:numRef>
              <c:f>'Category-wise Inventory Value'!$B$4:$B$6</c:f>
              <c:numCache>
                <c:formatCode>General</c:formatCode>
                <c:ptCount val="2"/>
                <c:pt idx="0">
                  <c:v>87950</c:v>
                </c:pt>
                <c:pt idx="1">
                  <c:v>10780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1-4479-94D0-D2CFD61CD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8922928"/>
        <c:axId val="988908528"/>
      </c:barChart>
      <c:catAx>
        <c:axId val="98892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908528"/>
        <c:crosses val="autoZero"/>
        <c:auto val="1"/>
        <c:lblAlgn val="ctr"/>
        <c:lblOffset val="100"/>
        <c:noMultiLvlLbl val="0"/>
      </c:catAx>
      <c:valAx>
        <c:axId val="9889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92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Data.xlsx]Product-wise Available Stock!PivotTable6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by</a:t>
            </a:r>
            <a:r>
              <a:rPr lang="en-IN" baseline="0"/>
              <a:t> Available Stock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'Product-wise Available Stock'!$B$3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'Product-wise Available Stock'!$A$4:$A$14</c:f>
              <c:strCache>
                <c:ptCount val="10"/>
                <c:pt idx="0">
                  <c:v> Calculator   </c:v>
                </c:pt>
                <c:pt idx="1">
                  <c:v> File Folder  </c:v>
                </c:pt>
                <c:pt idx="2">
                  <c:v> Headphones   </c:v>
                </c:pt>
                <c:pt idx="3">
                  <c:v> Keyboard     </c:v>
                </c:pt>
                <c:pt idx="4">
                  <c:v> Monitor      </c:v>
                </c:pt>
                <c:pt idx="5">
                  <c:v> Mouse        </c:v>
                </c:pt>
                <c:pt idx="6">
                  <c:v> Notebook     </c:v>
                </c:pt>
                <c:pt idx="7">
                  <c:v> Pen          </c:v>
                </c:pt>
                <c:pt idx="8">
                  <c:v> Printer      </c:v>
                </c:pt>
                <c:pt idx="9">
                  <c:v> USB Cable    </c:v>
                </c:pt>
              </c:strCache>
            </c:strRef>
          </c:cat>
          <c:val>
            <c:numRef>
              <c:f>'Product-wise Available Stock'!$B$4:$B$14</c:f>
              <c:numCache>
                <c:formatCode>General</c:formatCode>
                <c:ptCount val="10"/>
                <c:pt idx="0">
                  <c:v>16</c:v>
                </c:pt>
                <c:pt idx="1">
                  <c:v>32</c:v>
                </c:pt>
                <c:pt idx="2">
                  <c:v>7</c:v>
                </c:pt>
                <c:pt idx="3">
                  <c:v>25</c:v>
                </c:pt>
                <c:pt idx="4">
                  <c:v>7</c:v>
                </c:pt>
                <c:pt idx="5">
                  <c:v>2</c:v>
                </c:pt>
                <c:pt idx="6">
                  <c:v>60</c:v>
                </c:pt>
                <c:pt idx="7">
                  <c:v>90</c:v>
                </c:pt>
                <c:pt idx="8">
                  <c:v>8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E-438D-B14A-9E872560C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5900256"/>
        <c:axId val="834357264"/>
      </c:barChart>
      <c:catAx>
        <c:axId val="945900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357264"/>
        <c:crosses val="autoZero"/>
        <c:auto val="1"/>
        <c:lblAlgn val="ctr"/>
        <c:lblOffset val="100"/>
        <c:noMultiLvlLbl val="0"/>
      </c:catAx>
      <c:valAx>
        <c:axId val="83435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90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'Stock Status Doughnut Chart'!$B$1</c:f>
              <c:strCache>
                <c:ptCount val="1"/>
                <c:pt idx="0">
                  <c:v>Product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'Stock Status Doughnut Chart'!$A$2:$A$3</c:f>
              <c:strCache>
                <c:ptCount val="2"/>
                <c:pt idx="0">
                  <c:v>Low Stock</c:v>
                </c:pt>
                <c:pt idx="1">
                  <c:v>In Stock</c:v>
                </c:pt>
              </c:strCache>
            </c:strRef>
          </c:cat>
          <c:val>
            <c:numRef>
              <c:f>'Stock Status Doughnut Chart'!$B$2:$B$3</c:f>
              <c:numCache>
                <c:formatCode>General</c:formatCode>
                <c:ptCount val="2"/>
                <c:pt idx="0">
                  <c:v>1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9-4DBE-AA43-86DA817176F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7362833295704314"/>
          <c:y val="4.0202701811495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'Stock Status Doughnut Chart'!$B$1</c:f>
              <c:strCache>
                <c:ptCount val="1"/>
                <c:pt idx="0">
                  <c:v>Product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7E7-4F89-9ED1-E721ADD7A5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7E7-4F89-9ED1-E721ADD7A51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'Stock Status Doughnut Chart'!$A$2:$A$3</c:f>
              <c:strCache>
                <c:ptCount val="2"/>
                <c:pt idx="0">
                  <c:v>Low Stock</c:v>
                </c:pt>
                <c:pt idx="1">
                  <c:v>In Stock</c:v>
                </c:pt>
              </c:strCache>
            </c:strRef>
          </c:cat>
          <c:val>
            <c:numRef>
              <c:f>'Stock Status Doughnut Chart'!$B$2:$B$3</c:f>
              <c:numCache>
                <c:formatCode>General</c:formatCode>
                <c:ptCount val="2"/>
                <c:pt idx="0">
                  <c:v>1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E7-4F89-9ED1-E721ADD7A51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Data.xlsx]Product-wise Available Stock!PivotTable6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by</a:t>
            </a:r>
            <a:r>
              <a:rPr lang="en-IN" baseline="0"/>
              <a:t> Available Stock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'Product-wise Available Stock'!$B$3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'Product-wise Available Stock'!$A$4:$A$14</c:f>
              <c:strCache>
                <c:ptCount val="10"/>
                <c:pt idx="0">
                  <c:v> Calculator   </c:v>
                </c:pt>
                <c:pt idx="1">
                  <c:v> File Folder  </c:v>
                </c:pt>
                <c:pt idx="2">
                  <c:v> Headphones   </c:v>
                </c:pt>
                <c:pt idx="3">
                  <c:v> Keyboard     </c:v>
                </c:pt>
                <c:pt idx="4">
                  <c:v> Monitor      </c:v>
                </c:pt>
                <c:pt idx="5">
                  <c:v> Mouse        </c:v>
                </c:pt>
                <c:pt idx="6">
                  <c:v> Notebook     </c:v>
                </c:pt>
                <c:pt idx="7">
                  <c:v> Pen          </c:v>
                </c:pt>
                <c:pt idx="8">
                  <c:v> Printer      </c:v>
                </c:pt>
                <c:pt idx="9">
                  <c:v> USB Cable    </c:v>
                </c:pt>
              </c:strCache>
            </c:strRef>
          </c:cat>
          <c:val>
            <c:numRef>
              <c:f>'Product-wise Available Stock'!$B$4:$B$14</c:f>
              <c:numCache>
                <c:formatCode>General</c:formatCode>
                <c:ptCount val="10"/>
                <c:pt idx="0">
                  <c:v>16</c:v>
                </c:pt>
                <c:pt idx="1">
                  <c:v>32</c:v>
                </c:pt>
                <c:pt idx="2">
                  <c:v>7</c:v>
                </c:pt>
                <c:pt idx="3">
                  <c:v>25</c:v>
                </c:pt>
                <c:pt idx="4">
                  <c:v>7</c:v>
                </c:pt>
                <c:pt idx="5">
                  <c:v>2</c:v>
                </c:pt>
                <c:pt idx="6">
                  <c:v>60</c:v>
                </c:pt>
                <c:pt idx="7">
                  <c:v>90</c:v>
                </c:pt>
                <c:pt idx="8">
                  <c:v>8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6-42B7-B778-924C356B0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5900256"/>
        <c:axId val="834357264"/>
      </c:barChart>
      <c:catAx>
        <c:axId val="945900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357264"/>
        <c:crosses val="autoZero"/>
        <c:auto val="1"/>
        <c:lblAlgn val="ctr"/>
        <c:lblOffset val="100"/>
        <c:noMultiLvlLbl val="0"/>
      </c:catAx>
      <c:valAx>
        <c:axId val="83435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90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Data.xlsx]Category-wise Inventory Value!PivotTable5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'Category-wise Inventory Value'!$B$3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'Category-wise Inventory Value'!$A$4:$A$6</c:f>
              <c:strCache>
                <c:ptCount val="2"/>
                <c:pt idx="0">
                  <c:v> Electronics </c:v>
                </c:pt>
                <c:pt idx="1">
                  <c:v> Stationery  </c:v>
                </c:pt>
              </c:strCache>
            </c:strRef>
          </c:cat>
          <c:val>
            <c:numRef>
              <c:f>'Category-wise Inventory Value'!$B$4:$B$6</c:f>
              <c:numCache>
                <c:formatCode>General</c:formatCode>
                <c:ptCount val="2"/>
                <c:pt idx="0">
                  <c:v>87950</c:v>
                </c:pt>
                <c:pt idx="1">
                  <c:v>10780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2-47E9-BC97-856B0206E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8922928"/>
        <c:axId val="988908528"/>
      </c:barChart>
      <c:catAx>
        <c:axId val="98892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908528"/>
        <c:crosses val="autoZero"/>
        <c:auto val="1"/>
        <c:lblAlgn val="ctr"/>
        <c:lblOffset val="100"/>
        <c:noMultiLvlLbl val="0"/>
      </c:catAx>
      <c:valAx>
        <c:axId val="9889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92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11430</xdr:rowOff>
    </xdr:from>
    <xdr:to>
      <xdr:col>10</xdr:col>
      <xdr:colOff>312420</xdr:colOff>
      <xdr:row>17</xdr:row>
      <xdr:rowOff>11430</xdr:rowOff>
    </xdr:to>
    <xdr:graphicFrame macro="">
      <xdr:nvGraphicFramePr>
        <xdr:cNvPr id="2" name="Profit by Category">
          <a:extLst>
            <a:ext uri="{FF2B5EF4-FFF2-40B4-BE49-F238E27FC236}">
              <a16:creationId xmlns:a16="http://schemas.microsoft.com/office/drawing/2014/main" id="{122F2897-C530-F789-9286-FEE7721F7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179070</xdr:rowOff>
    </xdr:from>
    <xdr:to>
      <xdr:col>10</xdr:col>
      <xdr:colOff>320040</xdr:colOff>
      <xdr:row>16</xdr:row>
      <xdr:rowOff>179070</xdr:rowOff>
    </xdr:to>
    <xdr:graphicFrame macro="">
      <xdr:nvGraphicFramePr>
        <xdr:cNvPr id="2" name="Product by Available Stock ">
          <a:extLst>
            <a:ext uri="{FF2B5EF4-FFF2-40B4-BE49-F238E27FC236}">
              <a16:creationId xmlns:a16="http://schemas.microsoft.com/office/drawing/2014/main" id="{A477194A-0856-E5DE-30C7-B2F777D0B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7620</xdr:rowOff>
    </xdr:from>
    <xdr:to>
      <xdr:col>10</xdr:col>
      <xdr:colOff>297180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6D80BD-C158-D4E5-B994-174EFE54E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198505</xdr:colOff>
      <xdr:row>6</xdr:row>
      <xdr:rowOff>6403</xdr:rowOff>
    </xdr:from>
    <xdr:to>
      <xdr:col>4</xdr:col>
      <xdr:colOff>1101379</xdr:colOff>
      <xdr:row>17</xdr:row>
      <xdr:rowOff>44824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26404B-9995-40A7-871C-B8956C70E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12805</xdr:colOff>
      <xdr:row>18</xdr:row>
      <xdr:rowOff>12807</xdr:rowOff>
    </xdr:from>
    <xdr:to>
      <xdr:col>4</xdr:col>
      <xdr:colOff>1114183</xdr:colOff>
      <xdr:row>30</xdr:row>
      <xdr:rowOff>12808</xdr:rowOff>
    </xdr:to>
    <xdr:graphicFrame macro="">
      <xdr:nvGraphicFramePr>
        <xdr:cNvPr id="4" name="Product by Available Stock ">
          <a:extLst>
            <a:ext uri="{FF2B5EF4-FFF2-40B4-BE49-F238E27FC236}">
              <a16:creationId xmlns:a16="http://schemas.microsoft.com/office/drawing/2014/main" id="{32BF188E-E330-4279-8CC0-01CAF2D2B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</xdr:colOff>
      <xdr:row>6</xdr:row>
      <xdr:rowOff>1</xdr:rowOff>
    </xdr:from>
    <xdr:to>
      <xdr:col>3</xdr:col>
      <xdr:colOff>198503</xdr:colOff>
      <xdr:row>17</xdr:row>
      <xdr:rowOff>64034</xdr:rowOff>
    </xdr:to>
    <xdr:graphicFrame macro="">
      <xdr:nvGraphicFramePr>
        <xdr:cNvPr id="5" name="Profit by Category">
          <a:extLst>
            <a:ext uri="{FF2B5EF4-FFF2-40B4-BE49-F238E27FC236}">
              <a16:creationId xmlns:a16="http://schemas.microsoft.com/office/drawing/2014/main" id="{50819DB3-B961-4CAA-95D1-0DF56BD23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bgam" refreshedDate="46321.633365740738" createdVersion="8" refreshedVersion="8" minRefreshableVersion="3" recordCount="10" xr:uid="{58CC6BA0-1325-4717-B298-2911C992F846}">
  <cacheSource type="worksheet">
    <worksheetSource name="Table1"/>
  </cacheSource>
  <cacheFields count="10">
    <cacheField name=" Product ID " numFmtId="0">
      <sharedItems/>
    </cacheField>
    <cacheField name=" Product Name " numFmtId="0">
      <sharedItems count="10">
        <s v=" Keyboard     "/>
        <s v=" Mouse        "/>
        <s v=" Notebook     "/>
        <s v=" USB Cable    "/>
        <s v=" Pen          "/>
        <s v=" Monitor      "/>
        <s v=" Printer      "/>
        <s v=" File Folder  "/>
        <s v=" Headphones   "/>
        <s v=" Calculator   "/>
      </sharedItems>
    </cacheField>
    <cacheField name=" Category    " numFmtId="0">
      <sharedItems count="2">
        <s v=" Electronics "/>
        <s v=" Stationery  "/>
      </sharedItems>
    </cacheField>
    <cacheField name=" Opening Stock " numFmtId="0">
      <sharedItems containsSemiMixedTypes="0" containsString="0" containsNumber="1" containsInteger="1" minValue="5" maxValue="100"/>
    </cacheField>
    <cacheField name=" Stock In " numFmtId="0">
      <sharedItems containsSemiMixedTypes="0" containsString="0" containsNumber="1" containsInteger="1" minValue="2" maxValue="20"/>
    </cacheField>
    <cacheField name=" Stock Out " numFmtId="0">
      <sharedItems containsSemiMixedTypes="0" containsString="0" containsNumber="1" containsInteger="1" minValue="2" maxValue="30"/>
    </cacheField>
    <cacheField name=" Unit Price " numFmtId="0">
      <sharedItems containsSemiMixedTypes="0" containsString="0" containsNumber="1" containsInteger="1" minValue="4" maxValue="6500"/>
    </cacheField>
    <cacheField name="Available Stock" numFmtId="0">
      <sharedItems containsSemiMixedTypes="0" containsString="0" containsNumber="1" containsInteger="1" minValue="1" maxValue="90"/>
    </cacheField>
    <cacheField name="Total Value" numFmtId="0">
      <sharedItems containsSemiMixedTypes="0" containsString="0" containsNumber="1" containsInteger="1" minValue="100" maxValue="45500"/>
    </cacheField>
    <cacheField name="Low Stock Aler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 P101       "/>
    <x v="0"/>
    <x v="0"/>
    <n v="20"/>
    <n v="10"/>
    <n v="5"/>
    <n v="4"/>
    <n v="25"/>
    <n v="100"/>
    <s v="Low Stock"/>
  </r>
  <r>
    <s v=" P102       "/>
    <x v="1"/>
    <x v="0"/>
    <n v="15"/>
    <n v="5"/>
    <n v="18"/>
    <n v="300"/>
    <n v="2"/>
    <n v="600"/>
    <s v="In Stock"/>
  </r>
  <r>
    <s v=" P103       "/>
    <x v="2"/>
    <x v="1"/>
    <n v="50"/>
    <n v="20"/>
    <n v="10"/>
    <n v="50"/>
    <n v="60"/>
    <n v="3000"/>
    <s v="In Stock"/>
  </r>
  <r>
    <s v=" P104       "/>
    <x v="3"/>
    <x v="0"/>
    <n v="10"/>
    <n v="5"/>
    <n v="14"/>
    <n v="150"/>
    <n v="1"/>
    <n v="150"/>
    <s v="In Stock"/>
  </r>
  <r>
    <s v=" P105       "/>
    <x v="4"/>
    <x v="1"/>
    <n v="100"/>
    <n v="20"/>
    <n v="30"/>
    <n v="10"/>
    <n v="90"/>
    <n v="900"/>
    <s v="In Stock"/>
  </r>
  <r>
    <s v=" P106       "/>
    <x v="5"/>
    <x v="0"/>
    <n v="8"/>
    <n v="2"/>
    <n v="3"/>
    <n v="6500"/>
    <n v="7"/>
    <n v="45500"/>
    <s v="In Stock"/>
  </r>
  <r>
    <s v=" P107       "/>
    <x v="6"/>
    <x v="0"/>
    <n v="5"/>
    <n v="5"/>
    <n v="2"/>
    <n v="4500"/>
    <n v="8"/>
    <n v="36000"/>
    <s v="In Stock"/>
  </r>
  <r>
    <s v=" P108       "/>
    <x v="7"/>
    <x v="1"/>
    <n v="30"/>
    <n v="10"/>
    <n v="8"/>
    <n v="40"/>
    <n v="32"/>
    <n v="1280"/>
    <s v="In Stock"/>
  </r>
  <r>
    <s v=" P109       "/>
    <x v="8"/>
    <x v="0"/>
    <n v="12"/>
    <n v="5"/>
    <n v="10"/>
    <n v="800"/>
    <n v="7"/>
    <n v="5600"/>
    <s v="In Stock"/>
  </r>
  <r>
    <s v=" P110       "/>
    <x v="9"/>
    <x v="1"/>
    <n v="15"/>
    <n v="5"/>
    <n v="4"/>
    <n v="350"/>
    <n v="16"/>
    <n v="5600"/>
    <s v="In Stoc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8E70E-52EE-4DEC-BAB2-35FB3872E853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10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Total Value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B278D-93CF-45E9-B45D-D794658BCF38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0">
    <pivotField showAll="0"/>
    <pivotField axis="axisRow" showAll="0">
      <items count="11">
        <item x="9"/>
        <item x="7"/>
        <item x="8"/>
        <item x="0"/>
        <item x="5"/>
        <item x="1"/>
        <item x="2"/>
        <item x="4"/>
        <item x="6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vailable Stock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04CDB1-A6E3-4F3C-94AC-873B1F5DEB78}" name="Table1" displayName="Table1" ref="A1:J11" totalsRowShown="0" headerRowDxfId="6" dataDxfId="7" headerRowBorderDxfId="19" tableBorderDxfId="20" totalsRowBorderDxfId="18">
  <autoFilter ref="A1:J11" xr:uid="{2504CDB1-A6E3-4F3C-94AC-873B1F5DEB78}"/>
  <tableColumns count="10">
    <tableColumn id="1" xr3:uid="{77A4E309-7B57-4CE5-92F4-492870DDB51A}" name=" Product ID " dataDxfId="17"/>
    <tableColumn id="2" xr3:uid="{E533A4A6-3681-4A0F-B08F-CE0349372E24}" name=" Product Name " dataDxfId="16"/>
    <tableColumn id="3" xr3:uid="{96BC573E-6E82-4329-8FF7-A60DE92AE52E}" name=" Category    " dataDxfId="15"/>
    <tableColumn id="4" xr3:uid="{7B988D33-740A-4384-BC96-864B2EEBED9E}" name=" Opening Stock " dataDxfId="14"/>
    <tableColumn id="5" xr3:uid="{2D937ABF-DD34-4E7B-89A8-1EA97DC9C2DA}" name=" Stock In " dataDxfId="13"/>
    <tableColumn id="6" xr3:uid="{CD04C18F-4439-4C71-B1DD-EA85108A7D44}" name=" Stock Out " dataDxfId="12"/>
    <tableColumn id="7" xr3:uid="{8E65B658-1634-4F3A-BBE7-265474329DA5}" name=" Unit Price " dataDxfId="11"/>
    <tableColumn id="8" xr3:uid="{5C6236C5-28E5-42F9-81C8-6A57A76C8506}" name="Available Stock" dataDxfId="10">
      <calculatedColumnFormula>D2+E2-F2</calculatedColumnFormula>
    </tableColumn>
    <tableColumn id="9" xr3:uid="{F08795BB-54A4-45D4-88D5-108E6329B846}" name="Total Value" dataDxfId="9">
      <calculatedColumnFormula>G2*H2</calculatedColumnFormula>
    </tableColumn>
    <tableColumn id="10" xr3:uid="{FA0FBC72-0F07-437D-AA62-BFBE2B68F0B2}" name="Low Stock Alert" dataDxfId="8">
      <calculatedColumnFormula>IF(G2&lt;=5,"Low Stock","In Stock")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A2E82-A98F-4BE5-B99E-7F021A8D70D1}" name="Table2" displayName="Table2" ref="A1:B4" totalsRowCount="1" headerRowDxfId="2" dataDxfId="3">
  <autoFilter ref="A1:B3" xr:uid="{120A2E82-A98F-4BE5-B99E-7F021A8D70D1}"/>
  <tableColumns count="2">
    <tableColumn id="1" xr3:uid="{211D3886-E743-4D36-8B1E-5BB9AB4F4BF8}" name="Stock Status" totalsRowLabel="Total" dataDxfId="5" totalsRowDxfId="1"/>
    <tableColumn id="2" xr3:uid="{CD2D2412-81AF-466D-9BEE-C223D8EBB2A2}" name="Product Count" totalsRowFunction="sum" dataDxfId="4" totalsRowDxfId="0">
      <calculatedColumnFormula>COUNTIF(Table1[Low Stock Alert],"In Stock")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624B-10D2-4EAC-A9B6-6A04512EA5D4}">
  <dimension ref="A3:B6"/>
  <sheetViews>
    <sheetView workbookViewId="0">
      <selection activeCell="C20" sqref="C20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19" t="s">
        <v>37</v>
      </c>
      <c r="B3" t="s">
        <v>39</v>
      </c>
    </row>
    <row r="4" spans="1:2" x14ac:dyDescent="0.3">
      <c r="A4" s="20" t="s">
        <v>9</v>
      </c>
      <c r="B4" s="8">
        <v>87950</v>
      </c>
    </row>
    <row r="5" spans="1:2" x14ac:dyDescent="0.3">
      <c r="A5" s="20" t="s">
        <v>14</v>
      </c>
      <c r="B5" s="8">
        <v>10780</v>
      </c>
    </row>
    <row r="6" spans="1:2" x14ac:dyDescent="0.3">
      <c r="A6" s="20" t="s">
        <v>38</v>
      </c>
      <c r="B6" s="8">
        <v>98730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6EF8-6B6E-45EE-8D25-378BBBAEC69F}">
  <dimension ref="A3:B14"/>
  <sheetViews>
    <sheetView workbookViewId="0">
      <selection activeCell="N7" sqref="N7"/>
    </sheetView>
  </sheetViews>
  <sheetFormatPr defaultRowHeight="14.4" x14ac:dyDescent="0.3"/>
  <cols>
    <col min="1" max="1" width="12.88671875" bestFit="1" customWidth="1"/>
    <col min="2" max="2" width="20.44140625" bestFit="1" customWidth="1"/>
  </cols>
  <sheetData>
    <row r="3" spans="1:2" x14ac:dyDescent="0.3">
      <c r="A3" s="19" t="s">
        <v>37</v>
      </c>
      <c r="B3" t="s">
        <v>40</v>
      </c>
    </row>
    <row r="4" spans="1:2" x14ac:dyDescent="0.3">
      <c r="A4" s="20" t="s">
        <v>28</v>
      </c>
      <c r="B4" s="8">
        <v>16</v>
      </c>
    </row>
    <row r="5" spans="1:2" x14ac:dyDescent="0.3">
      <c r="A5" s="20" t="s">
        <v>24</v>
      </c>
      <c r="B5" s="8">
        <v>32</v>
      </c>
    </row>
    <row r="6" spans="1:2" x14ac:dyDescent="0.3">
      <c r="A6" s="20" t="s">
        <v>26</v>
      </c>
      <c r="B6" s="8">
        <v>7</v>
      </c>
    </row>
    <row r="7" spans="1:2" x14ac:dyDescent="0.3">
      <c r="A7" s="20" t="s">
        <v>8</v>
      </c>
      <c r="B7" s="8">
        <v>25</v>
      </c>
    </row>
    <row r="8" spans="1:2" x14ac:dyDescent="0.3">
      <c r="A8" s="20" t="s">
        <v>20</v>
      </c>
      <c r="B8" s="8">
        <v>7</v>
      </c>
    </row>
    <row r="9" spans="1:2" x14ac:dyDescent="0.3">
      <c r="A9" s="20" t="s">
        <v>11</v>
      </c>
      <c r="B9" s="8">
        <v>2</v>
      </c>
    </row>
    <row r="10" spans="1:2" x14ac:dyDescent="0.3">
      <c r="A10" s="20" t="s">
        <v>13</v>
      </c>
      <c r="B10" s="8">
        <v>60</v>
      </c>
    </row>
    <row r="11" spans="1:2" x14ac:dyDescent="0.3">
      <c r="A11" s="20" t="s">
        <v>18</v>
      </c>
      <c r="B11" s="8">
        <v>90</v>
      </c>
    </row>
    <row r="12" spans="1:2" x14ac:dyDescent="0.3">
      <c r="A12" s="20" t="s">
        <v>22</v>
      </c>
      <c r="B12" s="8">
        <v>8</v>
      </c>
    </row>
    <row r="13" spans="1:2" x14ac:dyDescent="0.3">
      <c r="A13" s="20" t="s">
        <v>16</v>
      </c>
      <c r="B13" s="8">
        <v>1</v>
      </c>
    </row>
    <row r="14" spans="1:2" x14ac:dyDescent="0.3">
      <c r="A14" s="20" t="s">
        <v>38</v>
      </c>
      <c r="B14" s="8">
        <v>248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zoomScaleNormal="100" workbookViewId="0"/>
  </sheetViews>
  <sheetFormatPr defaultRowHeight="14.4" x14ac:dyDescent="0.3"/>
  <cols>
    <col min="1" max="1" width="13.88671875" style="9" customWidth="1"/>
    <col min="2" max="2" width="17.33203125" style="9" customWidth="1"/>
    <col min="3" max="3" width="13.88671875" style="9" customWidth="1"/>
    <col min="4" max="4" width="17.44140625" style="9" customWidth="1"/>
    <col min="5" max="5" width="11.33203125" style="9" customWidth="1"/>
    <col min="6" max="7" width="13.109375" style="9" customWidth="1"/>
    <col min="8" max="8" width="17" style="9" customWidth="1"/>
    <col min="9" max="9" width="13.5546875" style="9" customWidth="1"/>
    <col min="10" max="10" width="17.33203125" style="9" customWidth="1"/>
    <col min="11" max="16384" width="8.88671875" style="9"/>
  </cols>
  <sheetData>
    <row r="1" spans="1:10" ht="15.6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36</v>
      </c>
      <c r="I1" s="14" t="s">
        <v>29</v>
      </c>
      <c r="J1" s="15" t="s">
        <v>35</v>
      </c>
    </row>
    <row r="2" spans="1:10" ht="15.6" x14ac:dyDescent="0.3">
      <c r="A2" s="11" t="s">
        <v>7</v>
      </c>
      <c r="B2" s="10" t="s">
        <v>8</v>
      </c>
      <c r="C2" s="10" t="s">
        <v>9</v>
      </c>
      <c r="D2" s="10">
        <v>20</v>
      </c>
      <c r="E2" s="10">
        <v>10</v>
      </c>
      <c r="F2" s="10">
        <v>5</v>
      </c>
      <c r="G2" s="10">
        <v>4</v>
      </c>
      <c r="H2" s="10">
        <f>D2+E2-F2</f>
        <v>25</v>
      </c>
      <c r="I2" s="10">
        <f>G2*H2</f>
        <v>100</v>
      </c>
      <c r="J2" s="12" t="str">
        <f>IF(G2&lt;=5,"Low Stock","In Stock")</f>
        <v>Low Stock</v>
      </c>
    </row>
    <row r="3" spans="1:10" ht="15.6" x14ac:dyDescent="0.3">
      <c r="A3" s="11" t="s">
        <v>10</v>
      </c>
      <c r="B3" s="10" t="s">
        <v>11</v>
      </c>
      <c r="C3" s="10" t="s">
        <v>9</v>
      </c>
      <c r="D3" s="10">
        <v>15</v>
      </c>
      <c r="E3" s="10">
        <v>5</v>
      </c>
      <c r="F3" s="10">
        <v>18</v>
      </c>
      <c r="G3" s="10">
        <v>300</v>
      </c>
      <c r="H3" s="10">
        <f t="shared" ref="H3:H11" si="0">D3+E3-F3</f>
        <v>2</v>
      </c>
      <c r="I3" s="10">
        <f t="shared" ref="I3:I11" si="1">G3*H3</f>
        <v>600</v>
      </c>
      <c r="J3" s="12" t="str">
        <f t="shared" ref="J3:J11" si="2">IF(G3&lt;=5,"Low Stock","In Stock")</f>
        <v>In Stock</v>
      </c>
    </row>
    <row r="4" spans="1:10" ht="15.6" x14ac:dyDescent="0.3">
      <c r="A4" s="11" t="s">
        <v>12</v>
      </c>
      <c r="B4" s="10" t="s">
        <v>13</v>
      </c>
      <c r="C4" s="10" t="s">
        <v>14</v>
      </c>
      <c r="D4" s="10">
        <v>50</v>
      </c>
      <c r="E4" s="10">
        <v>20</v>
      </c>
      <c r="F4" s="10">
        <v>10</v>
      </c>
      <c r="G4" s="10">
        <v>50</v>
      </c>
      <c r="H4" s="10">
        <f t="shared" si="0"/>
        <v>60</v>
      </c>
      <c r="I4" s="10">
        <f t="shared" si="1"/>
        <v>3000</v>
      </c>
      <c r="J4" s="12" t="str">
        <f t="shared" si="2"/>
        <v>In Stock</v>
      </c>
    </row>
    <row r="5" spans="1:10" ht="15.6" x14ac:dyDescent="0.3">
      <c r="A5" s="11" t="s">
        <v>15</v>
      </c>
      <c r="B5" s="10" t="s">
        <v>16</v>
      </c>
      <c r="C5" s="10" t="s">
        <v>9</v>
      </c>
      <c r="D5" s="10">
        <v>10</v>
      </c>
      <c r="E5" s="10">
        <v>5</v>
      </c>
      <c r="F5" s="10">
        <v>14</v>
      </c>
      <c r="G5" s="10">
        <v>150</v>
      </c>
      <c r="H5" s="10">
        <f t="shared" si="0"/>
        <v>1</v>
      </c>
      <c r="I5" s="10">
        <f t="shared" si="1"/>
        <v>150</v>
      </c>
      <c r="J5" s="12" t="str">
        <f t="shared" si="2"/>
        <v>In Stock</v>
      </c>
    </row>
    <row r="6" spans="1:10" ht="15.6" x14ac:dyDescent="0.3">
      <c r="A6" s="11" t="s">
        <v>17</v>
      </c>
      <c r="B6" s="10" t="s">
        <v>18</v>
      </c>
      <c r="C6" s="10" t="s">
        <v>14</v>
      </c>
      <c r="D6" s="10">
        <v>100</v>
      </c>
      <c r="E6" s="10">
        <v>20</v>
      </c>
      <c r="F6" s="10">
        <v>30</v>
      </c>
      <c r="G6" s="10">
        <v>10</v>
      </c>
      <c r="H6" s="10">
        <f t="shared" si="0"/>
        <v>90</v>
      </c>
      <c r="I6" s="10">
        <f t="shared" si="1"/>
        <v>900</v>
      </c>
      <c r="J6" s="12" t="str">
        <f t="shared" si="2"/>
        <v>In Stock</v>
      </c>
    </row>
    <row r="7" spans="1:10" ht="15.6" x14ac:dyDescent="0.3">
      <c r="A7" s="11" t="s">
        <v>19</v>
      </c>
      <c r="B7" s="10" t="s">
        <v>20</v>
      </c>
      <c r="C7" s="10" t="s">
        <v>9</v>
      </c>
      <c r="D7" s="10">
        <v>8</v>
      </c>
      <c r="E7" s="10">
        <v>2</v>
      </c>
      <c r="F7" s="10">
        <v>3</v>
      </c>
      <c r="G7" s="10">
        <v>6500</v>
      </c>
      <c r="H7" s="10">
        <f t="shared" si="0"/>
        <v>7</v>
      </c>
      <c r="I7" s="10">
        <f t="shared" si="1"/>
        <v>45500</v>
      </c>
      <c r="J7" s="12" t="str">
        <f t="shared" si="2"/>
        <v>In Stock</v>
      </c>
    </row>
    <row r="8" spans="1:10" ht="15.6" x14ac:dyDescent="0.3">
      <c r="A8" s="11" t="s">
        <v>21</v>
      </c>
      <c r="B8" s="10" t="s">
        <v>22</v>
      </c>
      <c r="C8" s="10" t="s">
        <v>9</v>
      </c>
      <c r="D8" s="10">
        <v>5</v>
      </c>
      <c r="E8" s="10">
        <v>5</v>
      </c>
      <c r="F8" s="10">
        <v>2</v>
      </c>
      <c r="G8" s="10">
        <v>4500</v>
      </c>
      <c r="H8" s="10">
        <f t="shared" si="0"/>
        <v>8</v>
      </c>
      <c r="I8" s="10">
        <f t="shared" si="1"/>
        <v>36000</v>
      </c>
      <c r="J8" s="12" t="str">
        <f t="shared" si="2"/>
        <v>In Stock</v>
      </c>
    </row>
    <row r="9" spans="1:10" ht="15.6" x14ac:dyDescent="0.3">
      <c r="A9" s="11" t="s">
        <v>23</v>
      </c>
      <c r="B9" s="10" t="s">
        <v>24</v>
      </c>
      <c r="C9" s="10" t="s">
        <v>14</v>
      </c>
      <c r="D9" s="10">
        <v>30</v>
      </c>
      <c r="E9" s="10">
        <v>10</v>
      </c>
      <c r="F9" s="10">
        <v>8</v>
      </c>
      <c r="G9" s="10">
        <v>40</v>
      </c>
      <c r="H9" s="10">
        <f t="shared" si="0"/>
        <v>32</v>
      </c>
      <c r="I9" s="10">
        <f t="shared" si="1"/>
        <v>1280</v>
      </c>
      <c r="J9" s="12" t="str">
        <f t="shared" si="2"/>
        <v>In Stock</v>
      </c>
    </row>
    <row r="10" spans="1:10" ht="15.6" x14ac:dyDescent="0.3">
      <c r="A10" s="11" t="s">
        <v>25</v>
      </c>
      <c r="B10" s="10" t="s">
        <v>26</v>
      </c>
      <c r="C10" s="10" t="s">
        <v>9</v>
      </c>
      <c r="D10" s="10">
        <v>12</v>
      </c>
      <c r="E10" s="10">
        <v>5</v>
      </c>
      <c r="F10" s="10">
        <v>10</v>
      </c>
      <c r="G10" s="10">
        <v>800</v>
      </c>
      <c r="H10" s="10">
        <f t="shared" si="0"/>
        <v>7</v>
      </c>
      <c r="I10" s="10">
        <f t="shared" si="1"/>
        <v>5600</v>
      </c>
      <c r="J10" s="12" t="str">
        <f t="shared" si="2"/>
        <v>In Stock</v>
      </c>
    </row>
    <row r="11" spans="1:10" ht="15.6" x14ac:dyDescent="0.3">
      <c r="A11" s="16" t="s">
        <v>27</v>
      </c>
      <c r="B11" s="17" t="s">
        <v>28</v>
      </c>
      <c r="C11" s="17" t="s">
        <v>14</v>
      </c>
      <c r="D11" s="17">
        <v>15</v>
      </c>
      <c r="E11" s="17">
        <v>5</v>
      </c>
      <c r="F11" s="17">
        <v>4</v>
      </c>
      <c r="G11" s="17">
        <v>350</v>
      </c>
      <c r="H11" s="17">
        <f t="shared" si="0"/>
        <v>16</v>
      </c>
      <c r="I11" s="17">
        <f t="shared" si="1"/>
        <v>5600</v>
      </c>
      <c r="J11" s="18" t="str">
        <f t="shared" si="2"/>
        <v>In Stock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9D2F-C7C9-4169-81CD-45D52FF495B8}">
  <dimension ref="A1:B4"/>
  <sheetViews>
    <sheetView workbookViewId="0">
      <selection activeCell="N10" sqref="N10"/>
    </sheetView>
  </sheetViews>
  <sheetFormatPr defaultRowHeight="14.4" x14ac:dyDescent="0.3"/>
  <cols>
    <col min="1" max="1" width="13.21875" style="9" customWidth="1"/>
    <col min="2" max="2" width="15.109375" style="9" customWidth="1"/>
    <col min="3" max="16384" width="8.88671875" style="9"/>
  </cols>
  <sheetData>
    <row r="1" spans="1:2" x14ac:dyDescent="0.3">
      <c r="A1" s="9" t="s">
        <v>41</v>
      </c>
      <c r="B1" s="9" t="s">
        <v>42</v>
      </c>
    </row>
    <row r="2" spans="1:2" x14ac:dyDescent="0.3">
      <c r="A2" s="9" t="s">
        <v>43</v>
      </c>
      <c r="B2" s="9">
        <f>COUNTIF(Table1[Low Stock Alert],"Low Stock")</f>
        <v>1</v>
      </c>
    </row>
    <row r="3" spans="1:2" x14ac:dyDescent="0.3">
      <c r="A3" s="9" t="s">
        <v>44</v>
      </c>
      <c r="B3" s="9">
        <f>COUNTIF(Table1[Low Stock Alert],"In Stock")</f>
        <v>9</v>
      </c>
    </row>
    <row r="4" spans="1:2" x14ac:dyDescent="0.3">
      <c r="A4" s="9" t="s">
        <v>45</v>
      </c>
      <c r="B4" s="9">
        <f>SUBTOTAL(109,Table2[Product Count])</f>
        <v>10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260A4-155F-42BE-8ED5-7705A387A3CD}">
  <dimension ref="B1:H5"/>
  <sheetViews>
    <sheetView tabSelected="1" zoomScale="119" workbookViewId="0">
      <selection activeCell="H42" sqref="H42"/>
    </sheetView>
  </sheetViews>
  <sheetFormatPr defaultRowHeight="14.4" x14ac:dyDescent="0.3"/>
  <cols>
    <col min="2" max="2" width="12.77734375" bestFit="1" customWidth="1"/>
    <col min="3" max="3" width="18.109375" bestFit="1" customWidth="1"/>
    <col min="4" max="4" width="18.6640625" bestFit="1" customWidth="1"/>
    <col min="5" max="5" width="16.21875" bestFit="1" customWidth="1"/>
  </cols>
  <sheetData>
    <row r="1" spans="2:8" ht="14.4" customHeight="1" x14ac:dyDescent="0.3">
      <c r="B1" s="2" t="s">
        <v>30</v>
      </c>
      <c r="C1" s="3"/>
      <c r="D1" s="3"/>
      <c r="E1" s="3"/>
      <c r="F1" s="1"/>
      <c r="G1" s="1"/>
      <c r="H1" s="1"/>
    </row>
    <row r="2" spans="2:8" ht="14.4" customHeight="1" x14ac:dyDescent="0.3">
      <c r="B2" s="3"/>
      <c r="C2" s="3"/>
      <c r="D2" s="3"/>
      <c r="E2" s="3"/>
      <c r="F2" s="1"/>
      <c r="G2" s="1"/>
      <c r="H2" s="1"/>
    </row>
    <row r="3" spans="2:8" ht="14.4" customHeight="1" x14ac:dyDescent="0.3">
      <c r="B3" s="3"/>
      <c r="C3" s="3"/>
      <c r="D3" s="3"/>
      <c r="E3" s="3"/>
      <c r="F3" s="1"/>
      <c r="G3" s="1"/>
      <c r="H3" s="1"/>
    </row>
    <row r="4" spans="2:8" x14ac:dyDescent="0.3">
      <c r="B4" s="4" t="s">
        <v>31</v>
      </c>
      <c r="C4" s="5" t="s">
        <v>32</v>
      </c>
      <c r="D4" s="6" t="s">
        <v>33</v>
      </c>
      <c r="E4" s="7" t="s">
        <v>34</v>
      </c>
    </row>
    <row r="5" spans="2:8" x14ac:dyDescent="0.3">
      <c r="B5" s="4">
        <f>COUNTA(Inventory_Data!A2:A11)</f>
        <v>10</v>
      </c>
      <c r="C5" s="5">
        <f>SUM(Inventory_Data!G2:G11)</f>
        <v>12704</v>
      </c>
      <c r="D5" s="6">
        <f>SUM(Inventory_Data!I2:I11)</f>
        <v>98730</v>
      </c>
      <c r="E5" s="7">
        <f>COUNTIF(Inventory_Data!J2:J11,"Low Stock")</f>
        <v>1</v>
      </c>
    </row>
  </sheetData>
  <mergeCells count="1">
    <mergeCell ref="B1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Category-wise Inventory Value</vt:lpstr>
      <vt:lpstr>Product-wise Available Stock</vt:lpstr>
      <vt:lpstr>Inventory_Data</vt:lpstr>
      <vt:lpstr>Stock Status Doughnut Chart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CHAUHAN</dc:creator>
  <cp:lastModifiedBy>ANKIT CHAUHAN</cp:lastModifiedBy>
  <dcterms:created xsi:type="dcterms:W3CDTF">2015-06-05T18:17:20Z</dcterms:created>
  <dcterms:modified xsi:type="dcterms:W3CDTF">2026-10-26T10:21:36Z</dcterms:modified>
</cp:coreProperties>
</file>